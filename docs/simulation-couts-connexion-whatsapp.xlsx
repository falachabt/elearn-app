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eur" sheetId="1" r:id="rId1"/>
    <sheet name="Scénarios" sheetId="2" r:id="rId2"/>
    <sheet name="Hypothèses et sources" sheetId="3" r:id="rId3"/>
    <sheet name="Free Kapso et Supabase" sheetId="4" r:id="rId4"/>
  </sheets>
  <calcPr calcId="124519" fullCalcOnLoad="1"/>
</workbook>
</file>

<file path=xl/sharedStrings.xml><?xml version="1.0" encoding="utf-8"?>
<sst xmlns="http://schemas.openxmlformats.org/spreadsheetml/2006/main" count="203" uniqueCount="157">
  <si>
    <t>Connexion par WhatsApp — simulation des coûts</t>
  </si>
  <si>
    <t>Kapso (WhatsApp) + Supabase Auth. Les cellules jaunes sont les hypothèses ; le reste est calculé. Grille tarifaire Meta en vigueur au 1er octobre 2026 : les messages de service sont facturables au-delà de la franchise, les messages d'authentification le sont toujours.</t>
  </si>
  <si>
    <t>1. Volumes et comportement</t>
  </si>
  <si>
    <t>Connexions WhatsApp réussies par mois</t>
  </si>
  <si>
    <t>Taux de renvoi (code non reçu, expiré, ressaisi)</t>
  </si>
  <si>
    <t>Part des connexions par modèle payant (0 % = tout en fenêtre 24 h)</t>
  </si>
  <si>
    <t>Coefficient « authentification internationale » (1 = non concerné)</t>
  </si>
  <si>
    <t>Franchise de messages de service gratuits (par numéro et par mois)</t>
  </si>
  <si>
    <t>Nombre de numéros WhatsApp</t>
  </si>
  <si>
    <t>2. Meta — répartition par pays et coût par message</t>
  </si>
  <si>
    <t>Pays</t>
  </si>
  <si>
    <t>Part des connexions</t>
  </si>
  <si>
    <t>Tarif authentification (USD/msg)</t>
  </si>
  <si>
    <t>Tarif service (USD/msg)</t>
  </si>
  <si>
    <t>Coût authentification</t>
  </si>
  <si>
    <t>Coût service</t>
  </si>
  <si>
    <t>Cameroun</t>
  </si>
  <si>
    <t>Côte d'Ivoire</t>
  </si>
  <si>
    <t>Sénégal</t>
  </si>
  <si>
    <t>Gabon</t>
  </si>
  <si>
    <t>Burkina Faso</t>
  </si>
  <si>
    <t>RD Congo</t>
  </si>
  <si>
    <t>France</t>
  </si>
  <si>
    <t>Total / moyenne pondérée</t>
  </si>
  <si>
    <t>3. Kapso</t>
  </si>
  <si>
    <t>Abonnement mensuel (USD) — 0 en Free, 25 en Pro</t>
  </si>
  <si>
    <t>Messages inclus dans le plan (entrants et sortants)</t>
  </si>
  <si>
    <t>Prix du message au-delà du quota (USD)</t>
  </si>
  <si>
    <t>Marge de change Kapso (WABA non USD)</t>
  </si>
  <si>
    <t>4. Supabase</t>
  </si>
  <si>
    <t>Abonnement mensuel (USD) — 25 en Pro</t>
  </si>
  <si>
    <t>MAU inclus dans le plan</t>
  </si>
  <si>
    <t>Prix du MAU au-delà (USD)</t>
  </si>
  <si>
    <t>MAU du projet</t>
  </si>
  <si>
    <t>5. Résultats mensuels</t>
  </si>
  <si>
    <t>Messages d'authentification Meta facturés</t>
  </si>
  <si>
    <t>Messages de service sortants</t>
  </si>
  <si>
    <t>Messages de service facturables (après franchise)</t>
  </si>
  <si>
    <t>Coût Meta — authentification (USD)</t>
  </si>
  <si>
    <t>Coût Meta — service (USD)</t>
  </si>
  <si>
    <t>Coût Meta brut (USD)</t>
  </si>
  <si>
    <t>Marge de change Kapso (USD)</t>
  </si>
  <si>
    <t>Coût Meta total (USD)</t>
  </si>
  <si>
    <t>Messages Kapso entrants (fenêtre 24 h)</t>
  </si>
  <si>
    <t>Messages Kapso sortants</t>
  </si>
  <si>
    <t>Messages Kapso totaux</t>
  </si>
  <si>
    <t>Messages au-delà du quota Kapso</t>
  </si>
  <si>
    <t>Coût Kapso (USD)</t>
  </si>
  <si>
    <t>Coût Supabase (USD) — aucun SMS facturé par Supabase</t>
  </si>
  <si>
    <t>TOTAL mensuel (USD)</t>
  </si>
  <si>
    <t>Coût par connexion réussie (USD)</t>
  </si>
  <si>
    <t>TOTAL annuel (USD)</t>
  </si>
  <si>
    <t>Connexions couvertes par le quota Kapso, selon le mode</t>
  </si>
  <si>
    <t>Rappel : coût du statu quo (e-mail, Google, Apple, Facebook)</t>
  </si>
  <si>
    <t>Lecture : le coût dominant aux petits volumes n'est pas Meta mais l'abonnement Kapso. Passez la « part des connexions par modèle payant » à 100 % pour chiffrer l'étape 2, et changez l'abonnement Kapso de 25 à 0 pour simuler le passage au plan gratuit (2 000 messages).</t>
  </si>
  <si>
    <t>Scénarios — coût mensuel selon le volume et le mode d'envoi</t>
  </si>
  <si>
    <t>Hypothèses par défaut : 15 % de renvoi, mix pays du simulateur, Kapso Pro (25 $, 100 000 messages), Supabase Pro (25 $, 3 000 MAU), franchise de 1 000 messages de service.</t>
  </si>
  <si>
    <t>Connexions/mois</t>
  </si>
  <si>
    <t>Mode d'envoi</t>
  </si>
  <si>
    <t>Coût Meta</t>
  </si>
  <si>
    <t>Coût Kapso</t>
  </si>
  <si>
    <t>Coût Supabase</t>
  </si>
  <si>
    <t>Total mensuel</t>
  </si>
  <si>
    <t>Coût par connexion</t>
  </si>
  <si>
    <t>Fenêtre 24 h (étape 1)</t>
  </si>
  <si>
    <t>Mixte 50 / 50</t>
  </si>
  <si>
    <t>Modèle Meta (étape 2)</t>
  </si>
  <si>
    <t>Le quota du plan Kapso compte les messages entrants comme sortants : la fenêtre 24 h consomme deux messages par connexion (le message de l'élève et le code), le modèle Meta un seul.</t>
  </si>
  <si>
    <t>Hypothèses, statut et sources</t>
  </si>
  <si>
    <t>Hypothèse</t>
  </si>
  <si>
    <t>Valeur</t>
  </si>
  <si>
    <t>Source</t>
  </si>
  <si>
    <t>Statut</t>
  </si>
  <si>
    <t>Tarif Meta authentification, Afrique de l'Ouest et centrale</t>
  </si>
  <si>
    <t>0,0040 USD/msg</t>
  </si>
  <si>
    <t>Meta Pricing, région « Rest of Africa » ; rate card daté du 01/10/2026</t>
  </si>
  <si>
    <t>Solide</t>
  </si>
  <si>
    <t>Tarif Meta authentification, France</t>
  </si>
  <si>
    <t>0,0300 USD/msg</t>
  </si>
  <si>
    <t>Meta Pricing, marché autonome France</t>
  </si>
  <si>
    <t>Tarif Meta authentification, RD Congo</t>
  </si>
  <si>
    <t>0,0077 USD/msg</t>
  </si>
  <si>
    <t>Pays absent de la liste Meta -&gt; tarif « Other ». Impact réel sur un des 7 marchés</t>
  </si>
  <si>
    <t>A CONFIRMER</t>
  </si>
  <si>
    <t>Tarif Meta service (fenêtre 24 h)</t>
  </si>
  <si>
    <t>0,0040 USD/msg (Afrique)</t>
  </si>
  <si>
    <t>Identique à authentication et utility depuis le 01/07/2025 : Meta publie une valeur par marché et par catégorie</t>
  </si>
  <si>
    <t>Franchise de messages de service</t>
  </si>
  <si>
    <t>1 000 sortants livrés par mois et par numéro</t>
  </si>
  <si>
    <t>Meta, section « free tier of monthly service messages ». Les entrants ne la consomment pas</t>
  </si>
  <si>
    <t>Message d'authentification dans la fenêtre 24 h</t>
  </si>
  <si>
    <t>facturé quand même</t>
  </si>
  <si>
    <t>Exception explicite de la grille Meta</t>
  </si>
  <si>
    <t>Fenêtre « free entry point » (OTP gratuits)</t>
  </si>
  <si>
    <t>jusqu'à 7 jours</t>
  </si>
  <si>
    <t>Ouverte par une pub Click-to-WhatsApp ou un bouton CTA de Page, sur mobile seulement : couvre aussi authentication</t>
  </si>
  <si>
    <t>A EXPLOITER</t>
  </si>
  <si>
    <t>Catégorie « authentification internationale »</t>
  </si>
  <si>
    <t>non concernée</t>
  </si>
  <si>
    <t>18 marchés seulement ; aucun des 7 marchés Elearn. Risque si ouverture au Nigeria ou au Maroc</t>
  </si>
  <si>
    <t>A SURVEILLER</t>
  </si>
  <si>
    <t>Réductions de volume (volume tiers) « Rest of Africa »</t>
  </si>
  <si>
    <t>non chiffrées</t>
  </si>
  <si>
    <t>Structure confirmée (6 bandes, jusqu'à -25 %), seuils non obtenus</t>
  </si>
  <si>
    <t>Abonnement Kapso Pro</t>
  </si>
  <si>
    <t>25 USD/mois</t>
  </si>
  <si>
    <t>kapso.com/pricing</t>
  </si>
  <si>
    <t>Quota Kapso Pro</t>
  </si>
  <si>
    <t>100 000 messages/mois, entrants et sortants</t>
  </si>
  <si>
    <t>docs.kapso.ai/docs/whatsapp/pricing-faq</t>
  </si>
  <si>
    <t>Prix du message Kapso au-delà du quota</t>
  </si>
  <si>
    <t>0,002 USD</t>
  </si>
  <si>
    <t>Marge de change Kapso si le WABA n'est pas en USD</t>
  </si>
  <si>
    <t>5 %</t>
  </si>
  <si>
    <t>docs.kapso.ai/docs/whatsapp/meta-message-billing</t>
  </si>
  <si>
    <t>Majoration « multi-partner solution »</t>
  </si>
  <si>
    <t>A VERIFIER</t>
  </si>
  <si>
    <t>Frais Meta refacturés par Kapso</t>
  </si>
  <si>
    <t>au coût annoncé, sans marge</t>
  </si>
  <si>
    <t>Mode de facturation Meta du WABA Elearn</t>
  </si>
  <si>
    <t>inconnu</t>
  </si>
  <si>
    <t>Dashboard Kapso, carte « Meta message fees »</t>
  </si>
  <si>
    <t>Devise du WABA</t>
  </si>
  <si>
    <t>figée à la création</t>
  </si>
  <si>
    <t>Meta : choix unique, non convertible ensuite (16 grilles ancrées)</t>
  </si>
  <si>
    <t>A DECIDER</t>
  </si>
  <si>
    <t>Abonnement Supabase Pro</t>
  </si>
  <si>
    <t>supabase.com/pricing</t>
  </si>
  <si>
    <t>MAU inclus (Pro)</t>
  </si>
  <si>
    <t>100 000</t>
  </si>
  <si>
    <t>Prix du MAU au-delà</t>
  </si>
  <si>
    <t>0,00325 USD</t>
  </si>
  <si>
    <t>Supabase facture-t-il les SMS ?</t>
  </si>
  <si>
    <t>non</t>
  </si>
  <si>
    <t>Avec le hook Send SMS, la livraison est entièrement chez Kapso</t>
  </si>
  <si>
    <t>Coût d'un SMS Twilio vers le Cameroun</t>
  </si>
  <si>
    <t>non chiffré ici</t>
  </si>
  <si>
    <t>twilio.com/en-us/sms/pricing/cm — page non exploitable automatiquement</t>
  </si>
  <si>
    <t>NON RETENU</t>
  </si>
  <si>
    <t>Coût du statu quo (e-mail, Google, Apple, Facebook)</t>
  </si>
  <si>
    <t>0 USD</t>
  </si>
  <si>
    <t>Aucun envoi facturé</t>
  </si>
  <si>
    <t>Total mensuel avec Kapso Free et Supabase Free</t>
  </si>
  <si>
    <t>Kapso Free : 0 $, 2 000 messages par mois (entrants et sortants), 1 numéro, aucun prix de dépassement publié — au-delà, il faut passer au plan Pro à 25 $. Supabase Free : 0 $, 50 000 MAU inclus, aucun dépassement facturé. Le seul coût réel est donc celui de Meta.</t>
  </si>
  <si>
    <t>Les trois seuils qui décident</t>
  </si>
  <si>
    <t>Franchise Meta épuisée (1 000 messages de service)</t>
  </si>
  <si>
    <t>Quota Kapso Free épuisé — fenêtre 24 h (2 000 messages)</t>
  </si>
  <si>
    <t>Quota Kapso Free épuisé — modèle Meta (2 000 messages)</t>
  </si>
  <si>
    <t>Meta (tarif Meta seul)</t>
  </si>
  <si>
    <t>Kapso</t>
  </si>
  <si>
    <t>Supabase</t>
  </si>
  <si>
    <t>TOTAL</t>
  </si>
  <si>
    <t>TOTAL si marge de change 5 %</t>
  </si>
  <si>
    <t>Hypothèses : étape 1 (fenêtre de service de 24 h), 15 % de renvoi, mix pays du simulateur (80 % Cameroun). Le quota de 2 000 messages du plan Kapso Free est partagé avec tout le reste du projet : résumés parents, reçus de paiement et agent support consomment le même compteur. S'il tourne déjà en mode réel, la marge gratuite est plus étroite que ce tableau ne le montre.</t>
  </si>
  <si>
    <t>Même tableau par le modèle d'authentification Meta (étape 2)</t>
  </si>
  <si>
    <t>Meta</t>
  </si>
  <si>
    <t>TOTAL si marge 5 %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</si>
</sst>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#,##0.0000"/>
    <numFmt numFmtId="167" formatCode="$#,##0.00"/>
    <numFmt numFmtId="168" formatCode="$#,##0.0000"/>
  </numFmts>
  <fonts count="11">
    <font>
      <sz val="11"/>
      <color theme="1"/>
      <name val="Calibri"/>
      <family val="2"/>
      <scheme val="minor"/>
    </font>
    <font>
      <b/>
      <sz val="14"/>
      <color rgb="FF0A0A0A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rgb="FF0A0A0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55555"/>
      <name val="Calibri"/>
      <family val="2"/>
      <scheme val="minor"/>
    </font>
    <font>
      <b/>
      <sz val="10"/>
      <color rgb="FF047857"/>
      <name val="Calibri"/>
      <family val="2"/>
      <scheme val="minor"/>
    </font>
    <font>
      <b/>
      <sz val="10"/>
      <color rgb="FFB4530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7E3"/>
        <bgColor indexed="64"/>
      </patternFill>
    </fill>
    <fill>
      <patternFill patternType="solid">
        <fgColor rgb="FFFFD83D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2FBF7"/>
        <bgColor indexed="64"/>
      </patternFill>
    </fill>
  </fills>
  <borders count="5">
    <border>
      <left/>
      <right/>
      <top/>
      <bottom/>
      <diagonal/>
    </border>
    <border>
      <left style="thin">
        <color rgb="FFE5D9B8"/>
      </left>
      <right style="thin">
        <color rgb="FFE5D9B8"/>
      </right>
      <top style="thin">
        <color rgb="FFE5D9B8"/>
      </top>
      <bottom style="thin">
        <color rgb="FFE5D9B8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0E9E6E"/>
      </left>
      <right style="thin">
        <color rgb="FF0E9E6E"/>
      </right>
      <top style="thin">
        <color rgb="FF0E9E6E"/>
      </top>
      <bottom style="thin">
        <color rgb="FF0E9E6E"/>
      </bottom>
      <diagonal/>
    </border>
    <border>
      <left/>
      <right/>
      <top style="thin">
        <color rgb="FF0A0A0A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164" fontId="0" fillId="3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 wrapText="1"/>
    </xf>
    <xf numFmtId="167" fontId="4" fillId="0" borderId="0" xfId="0" applyNumberFormat="1" applyFont="1"/>
    <xf numFmtId="0" fontId="6" fillId="0" borderId="4" xfId="0" applyFont="1" applyBorder="1"/>
    <xf numFmtId="165" fontId="4" fillId="0" borderId="0" xfId="0" applyNumberFormat="1" applyFont="1"/>
    <xf numFmtId="168" fontId="4" fillId="0" borderId="0" xfId="0" applyNumberFormat="1" applyFont="1"/>
    <xf numFmtId="164" fontId="4" fillId="0" borderId="0" xfId="0" applyNumberFormat="1" applyFont="1"/>
    <xf numFmtId="0" fontId="6" fillId="0" borderId="0" xfId="0" applyFont="1"/>
    <xf numFmtId="167" fontId="7" fillId="5" borderId="0" xfId="0" applyNumberFormat="1" applyFont="1" applyFill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cols>
    <col min="1" max="1" width="54.7109375" customWidth="1"/>
    <col min="2" max="2" width="15.7109375" customWidth="1"/>
    <col min="3" max="4" width="16.7109375" customWidth="1"/>
    <col min="5" max="6" width="15.7109375" customWidth="1"/>
  </cols>
  <sheetData>
    <row r="1" spans="1:6">
      <c r="A1" s="1" t="s">
        <v>0</v>
      </c>
    </row>
    <row r="2" spans="1:6" ht="30" customHeight="1">
      <c r="A2" s="2" t="s">
        <v>1</v>
      </c>
    </row>
    <row r="4" spans="1:6">
      <c r="A4" s="3" t="s">
        <v>2</v>
      </c>
      <c r="B4" s="3"/>
    </row>
    <row r="5" spans="1:6">
      <c r="A5" s="4" t="s">
        <v>3</v>
      </c>
      <c r="B5" s="5">
        <v>2000</v>
      </c>
    </row>
    <row r="6" spans="1:6">
      <c r="A6" s="4" t="s">
        <v>4</v>
      </c>
      <c r="B6" s="6">
        <v>0.15</v>
      </c>
    </row>
    <row r="7" spans="1:6">
      <c r="A7" s="4" t="s">
        <v>5</v>
      </c>
      <c r="B7" s="6">
        <v>0</v>
      </c>
    </row>
    <row r="8" spans="1:6">
      <c r="A8" s="4" t="s">
        <v>6</v>
      </c>
      <c r="B8" s="7">
        <v>1</v>
      </c>
    </row>
    <row r="9" spans="1:6">
      <c r="A9" s="4" t="s">
        <v>7</v>
      </c>
      <c r="B9" s="5">
        <v>1000</v>
      </c>
    </row>
    <row r="10" spans="1:6">
      <c r="A10" s="4" t="s">
        <v>8</v>
      </c>
      <c r="B10" s="5">
        <v>1</v>
      </c>
    </row>
    <row r="12" spans="1:6">
      <c r="A12" s="3" t="s">
        <v>9</v>
      </c>
      <c r="B12" s="3"/>
      <c r="C12" s="3"/>
      <c r="D12" s="3"/>
      <c r="E12" s="3"/>
      <c r="F12" s="3"/>
    </row>
    <row r="13" spans="1:6" ht="32" customHeight="1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</row>
    <row r="14" spans="1:6">
      <c r="A14" s="4" t="s">
        <v>16</v>
      </c>
      <c r="B14" s="6">
        <v>0.8</v>
      </c>
      <c r="C14" s="7">
        <v>0.004</v>
      </c>
      <c r="D14" s="7">
        <v>0.004</v>
      </c>
      <c r="E14" s="9">
        <f>$B$36*B14*C14*$B$8</f>
        <v>0.0</v>
      </c>
      <c r="F14" s="9">
        <f>$B$38*B14*D14</f>
        <v>4.16</v>
      </c>
    </row>
    <row r="15" spans="1:6">
      <c r="A15" s="4" t="s">
        <v>17</v>
      </c>
      <c r="B15" s="6">
        <v>0.05</v>
      </c>
      <c r="C15" s="7">
        <v>0.004</v>
      </c>
      <c r="D15" s="7">
        <v>0.004</v>
      </c>
      <c r="E15" s="9">
        <f>$B$36*B15*C15*$B$8</f>
        <v>0.0</v>
      </c>
      <c r="F15" s="9">
        <f>$B$38*B15*D15</f>
        <v>0.26</v>
      </c>
    </row>
    <row r="16" spans="1:6">
      <c r="A16" s="4" t="s">
        <v>18</v>
      </c>
      <c r="B16" s="6">
        <v>0.05</v>
      </c>
      <c r="C16" s="7">
        <v>0.004</v>
      </c>
      <c r="D16" s="7">
        <v>0.004</v>
      </c>
      <c r="E16" s="9">
        <f>$B$36*B16*C16*$B$8</f>
        <v>0.0</v>
      </c>
      <c r="F16" s="9">
        <f>$B$38*B16*D16</f>
        <v>0.26</v>
      </c>
    </row>
    <row r="17" spans="1:6">
      <c r="A17" s="4" t="s">
        <v>19</v>
      </c>
      <c r="B17" s="6">
        <v>0.03</v>
      </c>
      <c r="C17" s="7">
        <v>0.004</v>
      </c>
      <c r="D17" s="7">
        <v>0.004</v>
      </c>
      <c r="E17" s="9">
        <f>$B$36*B17*C17*$B$8</f>
        <v>0.0</v>
      </c>
      <c r="F17" s="9">
        <f>$B$38*B17*D17</f>
        <v>0.16</v>
      </c>
    </row>
    <row r="18" spans="1:6">
      <c r="A18" s="4" t="s">
        <v>20</v>
      </c>
      <c r="B18" s="6">
        <v>0.02</v>
      </c>
      <c r="C18" s="7">
        <v>0.004</v>
      </c>
      <c r="D18" s="7">
        <v>0.004</v>
      </c>
      <c r="E18" s="9">
        <f>$B$36*B18*C18*$B$8</f>
        <v>0.0</v>
      </c>
      <c r="F18" s="9">
        <f>$B$38*B18*D18</f>
        <v>0.1</v>
      </c>
    </row>
    <row r="19" spans="1:6">
      <c r="A19" s="4" t="s">
        <v>21</v>
      </c>
      <c r="B19" s="6">
        <v>0.03</v>
      </c>
      <c r="C19" s="7">
        <v>0.0077</v>
      </c>
      <c r="D19" s="7">
        <v>0.0077</v>
      </c>
      <c r="E19" s="9">
        <f>$B$36*B19*C19*$B$8</f>
        <v>0.0</v>
      </c>
      <c r="F19" s="9">
        <f>$B$38*B19*D19</f>
        <v>0.3</v>
      </c>
    </row>
    <row r="20" spans="1:6">
      <c r="A20" s="4" t="s">
        <v>22</v>
      </c>
      <c r="B20" s="6">
        <v>0.02</v>
      </c>
      <c r="C20" s="7">
        <v>0.03</v>
      </c>
      <c r="D20" s="7">
        <v>0.03</v>
      </c>
      <c r="E20" s="9">
        <f>$B$36*B20*C20*$B$8</f>
        <v>0.0</v>
      </c>
      <c r="F20" s="9">
        <f>$B$38*B20*D20</f>
        <v>0.78</v>
      </c>
    </row>
    <row r="21" spans="1:6">
      <c r="A21" s="10" t="s">
        <v>23</v>
      </c>
      <c r="B21" s="11">
        <f>SUM(B14:B20)</f>
        <v>1.0</v>
      </c>
      <c r="C21" s="12">
        <f>SUMPRODUCT(B14:B20,C14:C20)</f>
        <v>0.004631</v>
      </c>
      <c r="D21" s="12">
        <f>SUMPRODUCT(B14:B20,D14:D20)</f>
        <v>0.004631</v>
      </c>
      <c r="E21" s="10">
        <f>SUM(E14:E20)</f>
        <v>0.0</v>
      </c>
      <c r="F21" s="10">
        <f>SUM(F14:F20)</f>
        <v>6.02</v>
      </c>
    </row>
    <row r="23" spans="1:6">
      <c r="A23" s="3" t="s">
        <v>24</v>
      </c>
      <c r="B23" s="3"/>
    </row>
    <row r="24" spans="1:6">
      <c r="A24" s="4" t="s">
        <v>25</v>
      </c>
      <c r="B24" s="7">
        <v>25</v>
      </c>
    </row>
    <row r="25" spans="1:6">
      <c r="A25" s="4" t="s">
        <v>26</v>
      </c>
      <c r="B25" s="5">
        <v>100000</v>
      </c>
    </row>
    <row r="26" spans="1:6">
      <c r="A26" s="4" t="s">
        <v>27</v>
      </c>
      <c r="B26" s="7">
        <v>0.002</v>
      </c>
    </row>
    <row r="27" spans="1:6">
      <c r="A27" s="4" t="s">
        <v>28</v>
      </c>
      <c r="B27" s="6">
        <v>0.05</v>
      </c>
    </row>
    <row r="29" spans="1:6">
      <c r="A29" s="3" t="s">
        <v>29</v>
      </c>
      <c r="B29" s="3"/>
    </row>
    <row r="30" spans="1:6">
      <c r="A30" s="4" t="s">
        <v>30</v>
      </c>
      <c r="B30" s="7">
        <v>25</v>
      </c>
    </row>
    <row r="31" spans="1:6">
      <c r="A31" s="4" t="s">
        <v>31</v>
      </c>
      <c r="B31" s="5">
        <v>100000</v>
      </c>
    </row>
    <row r="32" spans="1:6">
      <c r="A32" s="4" t="s">
        <v>32</v>
      </c>
      <c r="B32" s="7">
        <v>0.00325</v>
      </c>
    </row>
    <row r="33" spans="1:2">
      <c r="A33" s="4" t="s">
        <v>33</v>
      </c>
      <c r="B33" s="5">
        <v>3000</v>
      </c>
    </row>
    <row r="35" spans="1:2">
      <c r="A35" s="3" t="s">
        <v>34</v>
      </c>
      <c r="B35" s="3"/>
    </row>
    <row r="36" spans="1:2">
      <c r="A36" s="4" t="s">
        <v>35</v>
      </c>
      <c r="B36" s="13">
        <f>$B$5*(1+$B$6)*$B$7</f>
        <v>0</v>
      </c>
    </row>
    <row r="37" spans="1:2">
      <c r="A37" s="4" t="s">
        <v>36</v>
      </c>
      <c r="B37" s="13">
        <f>$B$5*(1+$B$6)*(1-$B$7)</f>
        <v>2300</v>
      </c>
    </row>
    <row r="38" spans="1:2">
      <c r="A38" s="4" t="s">
        <v>37</v>
      </c>
      <c r="B38" s="13">
        <f>MAX(0,B37-$B$9*$B$10)</f>
        <v>1300</v>
      </c>
    </row>
    <row r="39" spans="1:2">
      <c r="A39" s="4" t="s">
        <v>38</v>
      </c>
      <c r="B39" s="9">
        <f>E21</f>
        <v>0.0</v>
      </c>
    </row>
    <row r="40" spans="1:2">
      <c r="A40" s="4" t="s">
        <v>39</v>
      </c>
      <c r="B40" s="9">
        <f>F21</f>
        <v>6.02</v>
      </c>
    </row>
    <row r="41" spans="1:2">
      <c r="A41" s="4" t="s">
        <v>40</v>
      </c>
      <c r="B41" s="9">
        <f>B39+B40</f>
        <v>6.02</v>
      </c>
    </row>
    <row r="42" spans="1:2">
      <c r="A42" s="4" t="s">
        <v>41</v>
      </c>
      <c r="B42" s="9">
        <f>B41*$B$27</f>
        <v>0.3</v>
      </c>
    </row>
    <row r="43" spans="1:2">
      <c r="A43" s="14" t="s">
        <v>42</v>
      </c>
      <c r="B43" s="9">
        <f>B41+B42</f>
        <v>6.32</v>
      </c>
    </row>
    <row r="44" spans="1:2">
      <c r="A44" s="4" t="s">
        <v>43</v>
      </c>
      <c r="B44" s="13">
        <f>$B$5*(1-$B$7)</f>
        <v>2000</v>
      </c>
    </row>
    <row r="45" spans="1:2">
      <c r="A45" s="4" t="s">
        <v>44</v>
      </c>
      <c r="B45" s="13">
        <f>$B$5*(1+$B$6)</f>
        <v>2300</v>
      </c>
    </row>
    <row r="46" spans="1:2">
      <c r="A46" s="14" t="s">
        <v>45</v>
      </c>
      <c r="B46" s="13">
        <f>B44+B45</f>
        <v>4300</v>
      </c>
    </row>
    <row r="47" spans="1:2">
      <c r="A47" s="4" t="s">
        <v>46</v>
      </c>
      <c r="B47" s="13">
        <f>MAX(0,B46-$B$25)</f>
        <v>0.0</v>
      </c>
    </row>
    <row r="48" spans="1:2">
      <c r="A48" s="14" t="s">
        <v>47</v>
      </c>
      <c r="B48" s="9">
        <f>$B$24+B47*$B$26</f>
        <v>25.0</v>
      </c>
    </row>
    <row r="49" spans="1:2">
      <c r="A49" s="14" t="s">
        <v>48</v>
      </c>
      <c r="B49" s="9">
        <f>$B$30+MAX(0,$B$33-$B$31)*$B$32</f>
        <v>25.0</v>
      </c>
    </row>
    <row r="50" spans="1:2">
      <c r="A50" s="14" t="s">
        <v>49</v>
      </c>
      <c r="B50" s="15">
        <f>B43+B48+B49</f>
        <v>56.32</v>
      </c>
    </row>
    <row r="51" spans="1:2">
      <c r="A51" s="4" t="s">
        <v>50</v>
      </c>
      <c r="B51" s="12">
        <f>B50/$B$5</f>
        <v>0.0282</v>
      </c>
    </row>
    <row r="52" spans="1:2">
      <c r="A52" s="14" t="s">
        <v>51</v>
      </c>
      <c r="B52" s="15">
        <f>B50*12</f>
        <v>675.86</v>
      </c>
    </row>
    <row r="54" spans="1:2">
      <c r="A54" s="4" t="s">
        <v>52</v>
      </c>
      <c r="B54" s="13">
        <f>$B$25/((1+$B$6)+(1-$B$7))</f>
        <v>46512</v>
      </c>
    </row>
    <row r="55" spans="1:2">
      <c r="A55" s="4" t="s">
        <v>53</v>
      </c>
      <c r="B55" s="9">
        <v>0</v>
      </c>
    </row>
    <row r="57" spans="1:2" ht="32" customHeight="1">
      <c r="A57" s="1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14.7109375" customWidth="1"/>
    <col min="2" max="2" width="24.7109375" customWidth="1"/>
    <col min="3" max="5" width="14.7109375" customWidth="1"/>
    <col min="6" max="6" width="16.7109375" customWidth="1"/>
    <col min="7" max="7" width="20.7109375" customWidth="1"/>
  </cols>
  <sheetData>
    <row r="1" spans="1:7">
      <c r="A1" s="1" t="s">
        <v>55</v>
      </c>
    </row>
    <row r="2" spans="1:7" ht="28" customHeight="1">
      <c r="A2" s="2" t="s">
        <v>56</v>
      </c>
    </row>
    <row r="4" spans="1:7" ht="30" customHeight="1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62</v>
      </c>
      <c r="G4" s="8" t="s">
        <v>63</v>
      </c>
    </row>
    <row r="5" spans="1:7">
      <c r="A5" s="14">
        <v>500</v>
      </c>
      <c r="B5" s="4" t="s">
        <v>64</v>
      </c>
      <c r="C5" s="9">
        <v>0</v>
      </c>
      <c r="D5" s="9">
        <v>25</v>
      </c>
      <c r="E5" s="9">
        <v>25</v>
      </c>
      <c r="F5" s="15">
        <v>50</v>
      </c>
      <c r="G5" s="12">
        <v>0.1</v>
      </c>
    </row>
    <row r="6" spans="1:7">
      <c r="A6" s="13">
        <v>500</v>
      </c>
      <c r="B6" s="4" t="s">
        <v>65</v>
      </c>
      <c r="C6" s="9">
        <v>1.4</v>
      </c>
      <c r="D6" s="9">
        <v>25</v>
      </c>
      <c r="E6" s="9">
        <v>25</v>
      </c>
      <c r="F6" s="15">
        <v>51.4</v>
      </c>
      <c r="G6" s="12">
        <v>0.1028</v>
      </c>
    </row>
    <row r="7" spans="1:7">
      <c r="A7" s="13">
        <v>500</v>
      </c>
      <c r="B7" s="4" t="s">
        <v>66</v>
      </c>
      <c r="C7" s="9">
        <v>2.8</v>
      </c>
      <c r="D7" s="9">
        <v>25</v>
      </c>
      <c r="E7" s="9">
        <v>25</v>
      </c>
      <c r="F7" s="15">
        <v>52.8</v>
      </c>
      <c r="G7" s="12">
        <v>0.1056</v>
      </c>
    </row>
    <row r="8" spans="1:7">
      <c r="A8" s="14">
        <v>1000</v>
      </c>
      <c r="B8" s="4" t="s">
        <v>64</v>
      </c>
      <c r="C8" s="9">
        <v>0.73</v>
      </c>
      <c r="D8" s="9">
        <v>25</v>
      </c>
      <c r="E8" s="9">
        <v>25</v>
      </c>
      <c r="F8" s="15">
        <v>50.73</v>
      </c>
      <c r="G8" s="12">
        <v>0.0507</v>
      </c>
    </row>
    <row r="9" spans="1:7">
      <c r="A9" s="13">
        <v>1000</v>
      </c>
      <c r="B9" s="4" t="s">
        <v>65</v>
      </c>
      <c r="C9" s="9">
        <v>2.8</v>
      </c>
      <c r="D9" s="9">
        <v>25</v>
      </c>
      <c r="E9" s="9">
        <v>25</v>
      </c>
      <c r="F9" s="15">
        <v>52.8</v>
      </c>
      <c r="G9" s="12">
        <v>0.0528</v>
      </c>
    </row>
    <row r="10" spans="1:7">
      <c r="A10" s="13">
        <v>1000</v>
      </c>
      <c r="B10" s="4" t="s">
        <v>66</v>
      </c>
      <c r="C10" s="9">
        <v>5.59</v>
      </c>
      <c r="D10" s="9">
        <v>25</v>
      </c>
      <c r="E10" s="9">
        <v>25</v>
      </c>
      <c r="F10" s="15">
        <v>55.59</v>
      </c>
      <c r="G10" s="12">
        <v>0.0556</v>
      </c>
    </row>
    <row r="11" spans="1:7">
      <c r="A11" s="14">
        <v>2000</v>
      </c>
      <c r="B11" s="4" t="s">
        <v>64</v>
      </c>
      <c r="C11" s="9">
        <v>6.32</v>
      </c>
      <c r="D11" s="9">
        <v>25</v>
      </c>
      <c r="E11" s="9">
        <v>25</v>
      </c>
      <c r="F11" s="15">
        <v>56.32</v>
      </c>
      <c r="G11" s="12">
        <v>0.0282</v>
      </c>
    </row>
    <row r="12" spans="1:7">
      <c r="A12" s="13">
        <v>2000</v>
      </c>
      <c r="B12" s="4" t="s">
        <v>65</v>
      </c>
      <c r="C12" s="9">
        <v>6.32</v>
      </c>
      <c r="D12" s="9">
        <v>25</v>
      </c>
      <c r="E12" s="9">
        <v>25</v>
      </c>
      <c r="F12" s="15">
        <v>56.32</v>
      </c>
      <c r="G12" s="12">
        <v>0.0282</v>
      </c>
    </row>
    <row r="13" spans="1:7">
      <c r="A13" s="13">
        <v>2000</v>
      </c>
      <c r="B13" s="4" t="s">
        <v>66</v>
      </c>
      <c r="C13" s="9">
        <v>11.18</v>
      </c>
      <c r="D13" s="9">
        <v>25</v>
      </c>
      <c r="E13" s="9">
        <v>25</v>
      </c>
      <c r="F13" s="15">
        <v>61.18</v>
      </c>
      <c r="G13" s="12">
        <v>0.0306</v>
      </c>
    </row>
    <row r="14" spans="1:7">
      <c r="A14" s="14">
        <v>5000</v>
      </c>
      <c r="B14" s="4" t="s">
        <v>64</v>
      </c>
      <c r="C14" s="9">
        <v>23.1</v>
      </c>
      <c r="D14" s="9">
        <v>25</v>
      </c>
      <c r="E14" s="9">
        <v>25</v>
      </c>
      <c r="F14" s="15">
        <v>73.09999999999999</v>
      </c>
      <c r="G14" s="12">
        <v>0.0146</v>
      </c>
    </row>
    <row r="15" spans="1:7">
      <c r="A15" s="13">
        <v>5000</v>
      </c>
      <c r="B15" s="4" t="s">
        <v>65</v>
      </c>
      <c r="C15" s="9">
        <v>23.1</v>
      </c>
      <c r="D15" s="9">
        <v>25</v>
      </c>
      <c r="E15" s="9">
        <v>25</v>
      </c>
      <c r="F15" s="15">
        <v>73.09999999999999</v>
      </c>
      <c r="G15" s="12">
        <v>0.0146</v>
      </c>
    </row>
    <row r="16" spans="1:7">
      <c r="A16" s="13">
        <v>5000</v>
      </c>
      <c r="B16" s="4" t="s">
        <v>66</v>
      </c>
      <c r="C16" s="9">
        <v>27.96</v>
      </c>
      <c r="D16" s="9">
        <v>25</v>
      </c>
      <c r="E16" s="9">
        <v>25</v>
      </c>
      <c r="F16" s="15">
        <v>77.95999999999999</v>
      </c>
      <c r="G16" s="12">
        <v>0.0156</v>
      </c>
    </row>
    <row r="17" spans="1:7">
      <c r="A17" s="14">
        <v>10000</v>
      </c>
      <c r="B17" s="4" t="s">
        <v>64</v>
      </c>
      <c r="C17" s="9">
        <v>51.06</v>
      </c>
      <c r="D17" s="9">
        <v>25</v>
      </c>
      <c r="E17" s="9">
        <v>25</v>
      </c>
      <c r="F17" s="15">
        <v>101.06</v>
      </c>
      <c r="G17" s="12">
        <v>0.0101</v>
      </c>
    </row>
    <row r="18" spans="1:7">
      <c r="A18" s="13">
        <v>10000</v>
      </c>
      <c r="B18" s="4" t="s">
        <v>65</v>
      </c>
      <c r="C18" s="9">
        <v>51.06</v>
      </c>
      <c r="D18" s="9">
        <v>25</v>
      </c>
      <c r="E18" s="9">
        <v>25</v>
      </c>
      <c r="F18" s="15">
        <v>101.06</v>
      </c>
      <c r="G18" s="12">
        <v>0.0101</v>
      </c>
    </row>
    <row r="19" spans="1:7">
      <c r="A19" s="13">
        <v>10000</v>
      </c>
      <c r="B19" s="4" t="s">
        <v>66</v>
      </c>
      <c r="C19" s="9">
        <v>55.92</v>
      </c>
      <c r="D19" s="9">
        <v>25</v>
      </c>
      <c r="E19" s="9">
        <v>25</v>
      </c>
      <c r="F19" s="15">
        <v>105.92</v>
      </c>
      <c r="G19" s="12">
        <v>0.0106</v>
      </c>
    </row>
    <row r="20" spans="1:7">
      <c r="A20" s="14">
        <v>25000</v>
      </c>
      <c r="B20" s="4" t="s">
        <v>64</v>
      </c>
      <c r="C20" s="9">
        <v>134.94</v>
      </c>
      <c r="D20" s="9">
        <v>25</v>
      </c>
      <c r="E20" s="9">
        <v>25</v>
      </c>
      <c r="F20" s="15">
        <v>184.94</v>
      </c>
      <c r="G20" s="12">
        <v>0.0074</v>
      </c>
    </row>
    <row r="21" spans="1:7">
      <c r="A21" s="13">
        <v>25000</v>
      </c>
      <c r="B21" s="4" t="s">
        <v>65</v>
      </c>
      <c r="C21" s="9">
        <v>134.94</v>
      </c>
      <c r="D21" s="9">
        <v>25</v>
      </c>
      <c r="E21" s="9">
        <v>25</v>
      </c>
      <c r="F21" s="15">
        <v>184.94</v>
      </c>
      <c r="G21" s="12">
        <v>0.0074</v>
      </c>
    </row>
    <row r="22" spans="1:7">
      <c r="A22" s="13">
        <v>25000</v>
      </c>
      <c r="B22" s="4" t="s">
        <v>66</v>
      </c>
      <c r="C22" s="9">
        <v>139.8</v>
      </c>
      <c r="D22" s="9">
        <v>25</v>
      </c>
      <c r="E22" s="9">
        <v>25</v>
      </c>
      <c r="F22" s="15">
        <v>189.8</v>
      </c>
      <c r="G22" s="12">
        <v>0.0076</v>
      </c>
    </row>
    <row r="23" spans="1:7">
      <c r="A23" s="14">
        <v>50000</v>
      </c>
      <c r="B23" s="4" t="s">
        <v>64</v>
      </c>
      <c r="C23" s="9">
        <v>274.73</v>
      </c>
      <c r="D23" s="9">
        <v>40</v>
      </c>
      <c r="E23" s="9">
        <v>25</v>
      </c>
      <c r="F23" s="15">
        <v>339.73</v>
      </c>
      <c r="G23" s="12">
        <v>0.0068</v>
      </c>
    </row>
    <row r="24" spans="1:7">
      <c r="A24" s="13">
        <v>50000</v>
      </c>
      <c r="B24" s="4" t="s">
        <v>65</v>
      </c>
      <c r="C24" s="9">
        <v>274.73</v>
      </c>
      <c r="D24" s="9">
        <v>25</v>
      </c>
      <c r="E24" s="9">
        <v>25</v>
      </c>
      <c r="F24" s="15">
        <v>324.73</v>
      </c>
      <c r="G24" s="12">
        <v>0.0065</v>
      </c>
    </row>
    <row r="25" spans="1:7">
      <c r="A25" s="13">
        <v>50000</v>
      </c>
      <c r="B25" s="4" t="s">
        <v>66</v>
      </c>
      <c r="C25" s="9">
        <v>279.6</v>
      </c>
      <c r="D25" s="9">
        <v>25</v>
      </c>
      <c r="E25" s="9">
        <v>25</v>
      </c>
      <c r="F25" s="15">
        <v>329.6</v>
      </c>
      <c r="G25" s="12">
        <v>0.0066</v>
      </c>
    </row>
    <row r="27" spans="1:7" ht="28" customHeight="1">
      <c r="A27" s="1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50.7109375" customWidth="1"/>
    <col min="2" max="2" width="20.7109375" customWidth="1"/>
    <col min="3" max="3" width="58.7109375" customWidth="1"/>
    <col min="4" max="4" width="18.7109375" customWidth="1"/>
  </cols>
  <sheetData>
    <row r="1" spans="1:4">
      <c r="A1" s="1" t="s">
        <v>68</v>
      </c>
    </row>
    <row r="3" spans="1:4">
      <c r="A3" s="8" t="s">
        <v>69</v>
      </c>
      <c r="B3" s="8" t="s">
        <v>70</v>
      </c>
      <c r="C3" s="8" t="s">
        <v>71</v>
      </c>
      <c r="D3" s="8" t="s">
        <v>72</v>
      </c>
    </row>
    <row r="4" spans="1:4" ht="26" customHeight="1">
      <c r="A4" s="4" t="s">
        <v>73</v>
      </c>
      <c r="B4" s="4" t="s">
        <v>74</v>
      </c>
      <c r="C4" s="16" t="s">
        <v>75</v>
      </c>
      <c r="D4" s="17" t="s">
        <v>76</v>
      </c>
    </row>
    <row r="5" spans="1:4" ht="26" customHeight="1">
      <c r="A5" s="4" t="s">
        <v>77</v>
      </c>
      <c r="B5" s="4" t="s">
        <v>78</v>
      </c>
      <c r="C5" s="16" t="s">
        <v>79</v>
      </c>
      <c r="D5" s="17" t="s">
        <v>76</v>
      </c>
    </row>
    <row r="6" spans="1:4" ht="26" customHeight="1">
      <c r="A6" s="4" t="s">
        <v>80</v>
      </c>
      <c r="B6" s="4" t="s">
        <v>81</v>
      </c>
      <c r="C6" s="16" t="s">
        <v>82</v>
      </c>
      <c r="D6" s="18" t="s">
        <v>83</v>
      </c>
    </row>
    <row r="7" spans="1:4" ht="26" customHeight="1">
      <c r="A7" s="4" t="s">
        <v>84</v>
      </c>
      <c r="B7" s="4" t="s">
        <v>85</v>
      </c>
      <c r="C7" s="16" t="s">
        <v>86</v>
      </c>
      <c r="D7" s="17" t="s">
        <v>76</v>
      </c>
    </row>
    <row r="8" spans="1:4" ht="26" customHeight="1">
      <c r="A8" s="4" t="s">
        <v>87</v>
      </c>
      <c r="B8" s="4" t="s">
        <v>88</v>
      </c>
      <c r="C8" s="16" t="s">
        <v>89</v>
      </c>
      <c r="D8" s="17" t="s">
        <v>76</v>
      </c>
    </row>
    <row r="9" spans="1:4" ht="26" customHeight="1">
      <c r="A9" s="4" t="s">
        <v>90</v>
      </c>
      <c r="B9" s="4" t="s">
        <v>91</v>
      </c>
      <c r="C9" s="16" t="s">
        <v>92</v>
      </c>
      <c r="D9" s="17" t="s">
        <v>76</v>
      </c>
    </row>
    <row r="10" spans="1:4" ht="26" customHeight="1">
      <c r="A10" s="4" t="s">
        <v>93</v>
      </c>
      <c r="B10" s="4" t="s">
        <v>94</v>
      </c>
      <c r="C10" s="16" t="s">
        <v>95</v>
      </c>
      <c r="D10" s="18" t="s">
        <v>96</v>
      </c>
    </row>
    <row r="11" spans="1:4" ht="26" customHeight="1">
      <c r="A11" s="4" t="s">
        <v>97</v>
      </c>
      <c r="B11" s="4" t="s">
        <v>98</v>
      </c>
      <c r="C11" s="16" t="s">
        <v>99</v>
      </c>
      <c r="D11" s="18" t="s">
        <v>100</v>
      </c>
    </row>
    <row r="12" spans="1:4" ht="26" customHeight="1">
      <c r="A12" s="4" t="s">
        <v>101</v>
      </c>
      <c r="B12" s="4" t="s">
        <v>102</v>
      </c>
      <c r="C12" s="16" t="s">
        <v>103</v>
      </c>
      <c r="D12" s="18" t="s">
        <v>83</v>
      </c>
    </row>
    <row r="13" spans="1:4" ht="26" customHeight="1">
      <c r="A13" s="4" t="s">
        <v>104</v>
      </c>
      <c r="B13" s="4" t="s">
        <v>105</v>
      </c>
      <c r="C13" s="16" t="s">
        <v>106</v>
      </c>
      <c r="D13" s="17" t="s">
        <v>76</v>
      </c>
    </row>
    <row r="14" spans="1:4" ht="26" customHeight="1">
      <c r="A14" s="4" t="s">
        <v>107</v>
      </c>
      <c r="B14" s="4" t="s">
        <v>108</v>
      </c>
      <c r="C14" s="16" t="s">
        <v>109</v>
      </c>
      <c r="D14" s="17" t="s">
        <v>76</v>
      </c>
    </row>
    <row r="15" spans="1:4" ht="26" customHeight="1">
      <c r="A15" s="4" t="s">
        <v>110</v>
      </c>
      <c r="B15" s="4" t="s">
        <v>111</v>
      </c>
      <c r="C15" s="16" t="s">
        <v>106</v>
      </c>
      <c r="D15" s="17" t="s">
        <v>76</v>
      </c>
    </row>
    <row r="16" spans="1:4" ht="26" customHeight="1">
      <c r="A16" s="4" t="s">
        <v>112</v>
      </c>
      <c r="B16" s="4" t="s">
        <v>113</v>
      </c>
      <c r="C16" s="16" t="s">
        <v>114</v>
      </c>
      <c r="D16" s="17" t="s">
        <v>76</v>
      </c>
    </row>
    <row r="17" spans="1:4" ht="26" customHeight="1">
      <c r="A17" s="4" t="s">
        <v>115</v>
      </c>
      <c r="B17" s="4" t="s">
        <v>113</v>
      </c>
      <c r="C17" s="16" t="s">
        <v>114</v>
      </c>
      <c r="D17" s="18" t="s">
        <v>116</v>
      </c>
    </row>
    <row r="18" spans="1:4" ht="26" customHeight="1">
      <c r="A18" s="4" t="s">
        <v>117</v>
      </c>
      <c r="B18" s="4" t="s">
        <v>118</v>
      </c>
      <c r="C18" s="16" t="s">
        <v>106</v>
      </c>
      <c r="D18" s="17" t="s">
        <v>76</v>
      </c>
    </row>
    <row r="19" spans="1:4" ht="26" customHeight="1">
      <c r="A19" s="4" t="s">
        <v>119</v>
      </c>
      <c r="B19" s="4" t="s">
        <v>120</v>
      </c>
      <c r="C19" s="16" t="s">
        <v>121</v>
      </c>
      <c r="D19" s="18" t="s">
        <v>116</v>
      </c>
    </row>
    <row r="20" spans="1:4" ht="26" customHeight="1">
      <c r="A20" s="4" t="s">
        <v>122</v>
      </c>
      <c r="B20" s="4" t="s">
        <v>123</v>
      </c>
      <c r="C20" s="16" t="s">
        <v>124</v>
      </c>
      <c r="D20" s="18" t="s">
        <v>125</v>
      </c>
    </row>
    <row r="21" spans="1:4" ht="26" customHeight="1">
      <c r="A21" s="4" t="s">
        <v>126</v>
      </c>
      <c r="B21" s="4" t="s">
        <v>105</v>
      </c>
      <c r="C21" s="16" t="s">
        <v>127</v>
      </c>
      <c r="D21" s="17" t="s">
        <v>76</v>
      </c>
    </row>
    <row r="22" spans="1:4" ht="26" customHeight="1">
      <c r="A22" s="4" t="s">
        <v>128</v>
      </c>
      <c r="B22" s="4" t="s">
        <v>129</v>
      </c>
      <c r="C22" s="16" t="s">
        <v>127</v>
      </c>
      <c r="D22" s="17" t="s">
        <v>76</v>
      </c>
    </row>
    <row r="23" spans="1:4" ht="26" customHeight="1">
      <c r="A23" s="4" t="s">
        <v>130</v>
      </c>
      <c r="B23" s="4" t="s">
        <v>131</v>
      </c>
      <c r="C23" s="16" t="s">
        <v>127</v>
      </c>
      <c r="D23" s="17" t="s">
        <v>76</v>
      </c>
    </row>
    <row r="24" spans="1:4" ht="26" customHeight="1">
      <c r="A24" s="4" t="s">
        <v>132</v>
      </c>
      <c r="B24" s="4" t="s">
        <v>133</v>
      </c>
      <c r="C24" s="16" t="s">
        <v>134</v>
      </c>
      <c r="D24" s="17" t="s">
        <v>76</v>
      </c>
    </row>
    <row r="25" spans="1:4" ht="26" customHeight="1">
      <c r="A25" s="4" t="s">
        <v>135</v>
      </c>
      <c r="B25" s="4" t="s">
        <v>136</v>
      </c>
      <c r="C25" s="16" t="s">
        <v>137</v>
      </c>
      <c r="D25" s="18" t="s">
        <v>138</v>
      </c>
    </row>
    <row r="26" spans="1:4" ht="26" customHeight="1">
      <c r="A26" s="4" t="s">
        <v>139</v>
      </c>
      <c r="B26" s="4" t="s">
        <v>140</v>
      </c>
      <c r="C26" s="16" t="s">
        <v>141</v>
      </c>
      <c r="D26" s="17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22.7109375" customWidth="1"/>
    <col min="2" max="2" width="18.7109375" customWidth="1"/>
    <col min="3" max="4" width="14.7109375" customWidth="1"/>
    <col min="5" max="5" width="18.7109375" customWidth="1"/>
    <col min="6" max="6" width="20.7109375" customWidth="1"/>
  </cols>
  <sheetData>
    <row r="1" spans="1:6">
      <c r="A1" s="1" t="s">
        <v>142</v>
      </c>
    </row>
    <row r="2" spans="1:6" ht="42" customHeight="1">
      <c r="A2" s="2" t="s">
        <v>143</v>
      </c>
    </row>
    <row r="4" spans="1:6">
      <c r="A4" s="3" t="s">
        <v>144</v>
      </c>
      <c r="B4" s="3"/>
      <c r="C4" s="3"/>
      <c r="D4" s="3"/>
      <c r="E4" s="3"/>
      <c r="F4" s="3"/>
    </row>
    <row r="5" spans="1:6">
      <c r="A5" s="4" t="s">
        <v>145</v>
      </c>
      <c r="B5" s="13">
        <f>869.57</f>
        <v>870</v>
      </c>
    </row>
    <row r="6" spans="1:6">
      <c r="A6" s="4" t="s">
        <v>146</v>
      </c>
      <c r="B6" s="13">
        <f>930.23</f>
        <v>930</v>
      </c>
    </row>
    <row r="7" spans="1:6">
      <c r="A7" s="4" t="s">
        <v>147</v>
      </c>
      <c r="B7" s="13">
        <f>1739.13</f>
        <v>1739</v>
      </c>
    </row>
    <row r="9" spans="1:6" ht="32" customHeight="1">
      <c r="A9" s="8" t="s">
        <v>57</v>
      </c>
      <c r="B9" s="8" t="s">
        <v>148</v>
      </c>
      <c r="C9" s="8" t="s">
        <v>149</v>
      </c>
      <c r="D9" s="8" t="s">
        <v>150</v>
      </c>
      <c r="E9" s="8" t="s">
        <v>151</v>
      </c>
      <c r="F9" s="8" t="s">
        <v>152</v>
      </c>
    </row>
    <row r="10" spans="1:6">
      <c r="A10" s="13">
        <v>100</v>
      </c>
      <c r="B10" s="9">
        <v>0</v>
      </c>
      <c r="C10" s="9">
        <v>0</v>
      </c>
      <c r="D10" s="9">
        <v>0</v>
      </c>
      <c r="E10" s="15">
        <v>0</v>
      </c>
      <c r="F10" s="9">
        <v>0</v>
      </c>
    </row>
    <row r="11" spans="1:6">
      <c r="A11" s="13">
        <v>250</v>
      </c>
      <c r="B11" s="9">
        <v>0</v>
      </c>
      <c r="C11" s="9">
        <v>0</v>
      </c>
      <c r="D11" s="9">
        <v>0</v>
      </c>
      <c r="E11" s="15">
        <v>0</v>
      </c>
      <c r="F11" s="9">
        <v>0</v>
      </c>
    </row>
    <row r="12" spans="1:6">
      <c r="A12" s="13">
        <v>500</v>
      </c>
      <c r="B12" s="9">
        <v>0</v>
      </c>
      <c r="C12" s="9">
        <v>0</v>
      </c>
      <c r="D12" s="9">
        <v>0</v>
      </c>
      <c r="E12" s="15">
        <v>0</v>
      </c>
      <c r="F12" s="9">
        <v>0</v>
      </c>
    </row>
    <row r="13" spans="1:6">
      <c r="A13" s="13">
        <v>750</v>
      </c>
      <c r="B13" s="9">
        <v>0</v>
      </c>
      <c r="C13" s="9">
        <v>0</v>
      </c>
      <c r="D13" s="9">
        <v>0</v>
      </c>
      <c r="E13" s="15">
        <v>0</v>
      </c>
      <c r="F13" s="9">
        <v>0</v>
      </c>
    </row>
    <row r="14" spans="1:6">
      <c r="A14" s="13">
        <v>870</v>
      </c>
      <c r="B14" s="9">
        <v>0</v>
      </c>
      <c r="C14" s="9">
        <v>0</v>
      </c>
      <c r="D14" s="9">
        <v>0</v>
      </c>
      <c r="E14" s="15">
        <v>0</v>
      </c>
      <c r="F14" s="9">
        <v>0</v>
      </c>
    </row>
    <row r="15" spans="1:6">
      <c r="A15" s="13">
        <v>930</v>
      </c>
      <c r="B15" s="9">
        <v>0.32</v>
      </c>
      <c r="C15" s="9">
        <v>0</v>
      </c>
      <c r="D15" s="9">
        <v>0</v>
      </c>
      <c r="E15" s="15">
        <v>0.32</v>
      </c>
      <c r="F15" s="9">
        <v>0.34</v>
      </c>
    </row>
    <row r="16" spans="1:6">
      <c r="A16" s="13">
        <v>1000</v>
      </c>
      <c r="B16" s="9">
        <v>0.6899999999999999</v>
      </c>
      <c r="C16" s="9">
        <v>25</v>
      </c>
      <c r="D16" s="9">
        <v>0</v>
      </c>
      <c r="E16" s="15">
        <v>25.69</v>
      </c>
      <c r="F16" s="9">
        <v>26.98</v>
      </c>
    </row>
    <row r="17" spans="1:6">
      <c r="A17" s="13">
        <v>1500</v>
      </c>
      <c r="B17" s="9">
        <v>3.36</v>
      </c>
      <c r="C17" s="9">
        <v>25</v>
      </c>
      <c r="D17" s="9">
        <v>0</v>
      </c>
      <c r="E17" s="15">
        <v>28.36</v>
      </c>
      <c r="F17" s="9">
        <v>29.78</v>
      </c>
    </row>
    <row r="18" spans="1:6">
      <c r="A18" s="13">
        <v>1739</v>
      </c>
      <c r="B18" s="9">
        <v>4.63</v>
      </c>
      <c r="C18" s="9">
        <v>25</v>
      </c>
      <c r="D18" s="9">
        <v>0</v>
      </c>
      <c r="E18" s="15">
        <v>29.63</v>
      </c>
      <c r="F18" s="9">
        <v>31.11</v>
      </c>
    </row>
    <row r="19" spans="1:6">
      <c r="A19" s="13">
        <v>2000</v>
      </c>
      <c r="B19" s="9">
        <v>6.02</v>
      </c>
      <c r="C19" s="9">
        <v>25</v>
      </c>
      <c r="D19" s="9">
        <v>0</v>
      </c>
      <c r="E19" s="15">
        <v>31.02</v>
      </c>
      <c r="F19" s="9">
        <v>32.57</v>
      </c>
    </row>
    <row r="20" spans="1:6">
      <c r="A20" s="13">
        <v>5000</v>
      </c>
      <c r="B20" s="9">
        <v>22</v>
      </c>
      <c r="C20" s="9">
        <v>25</v>
      </c>
      <c r="D20" s="9">
        <v>0</v>
      </c>
      <c r="E20" s="15">
        <v>47</v>
      </c>
      <c r="F20" s="9">
        <v>49.35</v>
      </c>
    </row>
    <row r="21" spans="1:6">
      <c r="A21" s="13">
        <v>10000</v>
      </c>
      <c r="B21" s="9">
        <v>48.63</v>
      </c>
      <c r="C21" s="9">
        <v>25</v>
      </c>
      <c r="D21" s="9">
        <v>0</v>
      </c>
      <c r="E21" s="15">
        <v>73.63</v>
      </c>
      <c r="F21" s="9">
        <v>77.31</v>
      </c>
    </row>
    <row r="23" spans="1:6" ht="44" customHeight="1">
      <c r="A23" s="16" t="s">
        <v>153</v>
      </c>
    </row>
    <row r="25" spans="1:6">
      <c r="A25" s="14" t="s">
        <v>154</v>
      </c>
    </row>
    <row r="27" spans="1:6">
      <c r="A27" s="8" t="s">
        <v>57</v>
      </c>
      <c r="B27" s="8" t="s">
        <v>155</v>
      </c>
      <c r="C27" s="8" t="s">
        <v>149</v>
      </c>
      <c r="D27" s="8" t="s">
        <v>150</v>
      </c>
      <c r="E27" s="8" t="s">
        <v>151</v>
      </c>
      <c r="F27" s="8" t="s">
        <v>156</v>
      </c>
    </row>
    <row r="28" spans="1:6">
      <c r="A28" s="13">
        <v>100</v>
      </c>
      <c r="B28" s="9">
        <v>0.53</v>
      </c>
      <c r="C28" s="9">
        <v>0</v>
      </c>
      <c r="D28" s="9">
        <v>0</v>
      </c>
      <c r="E28" s="15">
        <v>0.53</v>
      </c>
      <c r="F28" s="9">
        <v>0.5600000000000001</v>
      </c>
    </row>
    <row r="29" spans="1:6">
      <c r="A29" s="13">
        <v>500</v>
      </c>
      <c r="B29" s="9">
        <v>2.66</v>
      </c>
      <c r="C29" s="9">
        <v>0</v>
      </c>
      <c r="D29" s="9">
        <v>0</v>
      </c>
      <c r="E29" s="15">
        <v>2.66</v>
      </c>
      <c r="F29" s="9">
        <v>2.8</v>
      </c>
    </row>
    <row r="30" spans="1:6">
      <c r="A30" s="13">
        <v>1000</v>
      </c>
      <c r="B30" s="9">
        <v>5.33</v>
      </c>
      <c r="C30" s="9">
        <v>0</v>
      </c>
      <c r="D30" s="9">
        <v>0</v>
      </c>
      <c r="E30" s="15">
        <v>5.33</v>
      </c>
      <c r="F30" s="9">
        <v>5.59</v>
      </c>
    </row>
    <row r="31" spans="1:6">
      <c r="A31" s="13">
        <v>1739</v>
      </c>
      <c r="B31" s="9">
        <v>9.26</v>
      </c>
      <c r="C31" s="9">
        <v>0</v>
      </c>
      <c r="D31" s="9">
        <v>0</v>
      </c>
      <c r="E31" s="15">
        <v>9.26</v>
      </c>
      <c r="F31" s="9">
        <v>9.720000000000001</v>
      </c>
    </row>
    <row r="32" spans="1:6">
      <c r="A32" s="13">
        <v>2000</v>
      </c>
      <c r="B32" s="9">
        <v>10.65</v>
      </c>
      <c r="C32" s="9">
        <v>25</v>
      </c>
      <c r="D32" s="9">
        <v>0</v>
      </c>
      <c r="E32" s="15">
        <v>35.65</v>
      </c>
      <c r="F32" s="9">
        <v>37.43</v>
      </c>
    </row>
    <row r="33" spans="1:6">
      <c r="A33" s="13">
        <v>5000</v>
      </c>
      <c r="B33" s="9">
        <v>26.63</v>
      </c>
      <c r="C33" s="9">
        <v>25</v>
      </c>
      <c r="D33" s="9">
        <v>0</v>
      </c>
      <c r="E33" s="15">
        <v>51.63</v>
      </c>
      <c r="F33" s="9">
        <v>54.21</v>
      </c>
    </row>
    <row r="34" spans="1:6">
      <c r="A34" s="13">
        <v>10000</v>
      </c>
      <c r="B34" s="9">
        <v>53.26</v>
      </c>
      <c r="C34" s="9">
        <v>25</v>
      </c>
      <c r="D34" s="9">
        <v>0</v>
      </c>
      <c r="E34" s="15">
        <v>78.26000000000001</v>
      </c>
      <c r="F34" s="9">
        <v>82.17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Simulateur</vt:lpstr>
      <vt:lpstr>Scénarios</vt:lpstr>
      <vt:lpstr>Hypothèses et sources</vt:lpstr>
      <vt:lpstr>Free Kapso et Supabase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2026-10-09T18:54:39Z</dcterms:created>
  <dcterms:modified xsi:type="dcterms:W3CDTF">2026-10-09T18:54:39Z</dcterms:modified>
</cp:coreProperties>
</file>